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s" sheetId="1" r:id="rId4"/>
    <sheet state="visible" name="Summary" sheetId="2" r:id="rId5"/>
    <sheet state="visible" name="Dataset" sheetId="3" r:id="rId6"/>
  </sheets>
  <definedNames>
    <definedName hidden="1" localSheetId="2" name="_xlnm._FilterDatabase">Dataset!$A$1:$F$82</definedName>
  </definedNames>
  <calcPr/>
  <extLst>
    <ext uri="GoogleSheetsCustomDataVersion2">
      <go:sheetsCustomData xmlns:go="http://customooxmlschemas.google.com/" r:id="rId7" roundtripDataChecksum="GOIcfjEiU8/BJufj3E1UMQVZPJaC1twUwGWw9p+txTY="/>
    </ext>
  </extLst>
</workbook>
</file>

<file path=xl/sharedStrings.xml><?xml version="1.0" encoding="utf-8"?>
<sst xmlns="http://schemas.openxmlformats.org/spreadsheetml/2006/main" count="184" uniqueCount="89">
  <si>
    <t>Solicitudes entradas</t>
  </si>
  <si>
    <t>Solicitudes contratadas</t>
  </si>
  <si>
    <t>SOLICITUDES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</si>
  <si>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</si>
  <si>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</si>
  <si>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</si>
  <si>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</si>
  <si>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</si>
  <si>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</si>
  <si>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</si>
  <si>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</si>
  <si>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</si>
  <si>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</si>
  <si>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</si>
  <si>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</si>
  <si>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</si>
  <si>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DÍA</t>
  </si>
  <si>
    <t>HORA</t>
  </si>
  <si>
    <t>FECHA EVENTO</t>
  </si>
  <si>
    <t>NOMBRE</t>
  </si>
  <si>
    <t>ESTADO</t>
  </si>
  <si>
    <t>ANTELACIÓN
(MESES)</t>
  </si>
  <si>
    <t>María</t>
  </si>
  <si>
    <t>Contratada</t>
  </si>
  <si>
    <t>Laura</t>
  </si>
  <si>
    <t>Atendida</t>
  </si>
  <si>
    <t>Desirée</t>
  </si>
  <si>
    <t>Pol</t>
  </si>
  <si>
    <t>Alejandro</t>
  </si>
  <si>
    <t>Carla</t>
  </si>
  <si>
    <t>Marta</t>
  </si>
  <si>
    <t>Anna</t>
  </si>
  <si>
    <t>Natalia</t>
  </si>
  <si>
    <t>Fran</t>
  </si>
  <si>
    <t>Noelia</t>
  </si>
  <si>
    <t>Esther</t>
  </si>
  <si>
    <t>Ariadna</t>
  </si>
  <si>
    <t>Tamara</t>
  </si>
  <si>
    <t>Mónica</t>
  </si>
  <si>
    <t>Alexandra</t>
  </si>
  <si>
    <t>Álvaro</t>
  </si>
  <si>
    <t>Anais</t>
  </si>
  <si>
    <t>Tania</t>
  </si>
  <si>
    <t>Manu</t>
  </si>
  <si>
    <t>Eloy</t>
  </si>
  <si>
    <t>Elena</t>
  </si>
  <si>
    <t>Irene</t>
  </si>
  <si>
    <t>Christina</t>
  </si>
  <si>
    <t>Maria</t>
  </si>
  <si>
    <t>Trinidad</t>
  </si>
  <si>
    <t>Estefanía</t>
  </si>
  <si>
    <t>Rocio</t>
  </si>
  <si>
    <t>Rosario</t>
  </si>
  <si>
    <t>Ed</t>
  </si>
  <si>
    <t>Miriam</t>
  </si>
  <si>
    <t>Alina</t>
  </si>
  <si>
    <t>Nerea</t>
  </si>
  <si>
    <t>Gloria</t>
  </si>
  <si>
    <t>Carlos</t>
  </si>
  <si>
    <t>Penelope</t>
  </si>
  <si>
    <t>Sara</t>
  </si>
  <si>
    <t>Yolanda</t>
  </si>
  <si>
    <t>Patricia</t>
  </si>
  <si>
    <t>Ana</t>
  </si>
  <si>
    <t>Andrea</t>
  </si>
  <si>
    <t>Marina</t>
  </si>
  <si>
    <t>Laia</t>
  </si>
  <si>
    <t>Genesis</t>
  </si>
  <si>
    <t>Maribel</t>
  </si>
  <si>
    <t>Aina</t>
  </si>
  <si>
    <t>Lucia</t>
  </si>
  <si>
    <t>Javier</t>
  </si>
  <si>
    <t>Myriam</t>
  </si>
  <si>
    <t>Rosa</t>
  </si>
  <si>
    <t>Rebeca</t>
  </si>
  <si>
    <t>Lara</t>
  </si>
  <si>
    <t>Cindy</t>
  </si>
  <si>
    <t>Karina</t>
  </si>
  <si>
    <t>Harriet</t>
  </si>
  <si>
    <t>Clara</t>
  </si>
  <si>
    <t>Alma</t>
  </si>
  <si>
    <t>Silvia</t>
  </si>
  <si>
    <t>Martita</t>
  </si>
  <si>
    <t>Francesco</t>
  </si>
  <si>
    <t>Nihad</t>
  </si>
  <si>
    <t>Sergi</t>
  </si>
  <si>
    <t>Agnes</t>
  </si>
  <si>
    <t>Umberto</t>
  </si>
  <si>
    <t>Lolys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</si>
</sst>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h&quot;:&quot;mm&quot;h&quot;"/>
    <numFmt numFmtId="166" formatCode="dd/mm/yyyy"/>
  </numFmts>
  <fonts count="6">
    <font>
      <sz val="11.0"/>
      <color rgb="FF000000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71B1FF"/>
        <bgColor rgb="FF71B1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4" fontId="2" numFmtId="0" xfId="0" applyAlignment="1" applyFill="1" applyFont="1">
      <alignment horizontal="left" vertical="center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0" fillId="0" fontId="5" numFmtId="165" xfId="0" applyAlignment="1" applyFont="1" applyNumberFormat="1">
      <alignment horizontal="left" shrinkToFit="0" vertical="center" wrapText="0"/>
    </xf>
    <xf borderId="0" fillId="0" fontId="5" numFmtId="166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2" numFmtId="2" xfId="0" applyAlignment="1" applyFont="1" applyNumberFormat="1">
      <alignment horizontal="left"/>
    </xf>
    <xf borderId="0" fillId="0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71B1FF"/>
            </a:solidFill>
            <a:ln cmpd="sng">
              <a:solidFill>
                <a:srgbClr val="000000"/>
              </a:solidFill>
            </a:ln>
          </c:spPr>
          <c:cat>
            <c:strRef>
              <c:f>Summary!$B$3:$B$14</c:f>
            </c:strRef>
          </c:cat>
          <c:val>
            <c:numRef>
              <c:f>Summary!$D$3:$D$14</c:f>
              <c:numCache/>
            </c:numRef>
          </c:val>
        </c:ser>
        <c:axId val="1466759035"/>
        <c:axId val="1649124306"/>
      </c:barChart>
      <c:catAx>
        <c:axId val="1466759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124306"/>
      </c:catAx>
      <c:valAx>
        <c:axId val="1649124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759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71B1FF"/>
            </a:solidFill>
            <a:ln cmpd="sng">
              <a:solidFill>
                <a:srgbClr val="000000"/>
              </a:solidFill>
            </a:ln>
          </c:spPr>
          <c:cat>
            <c:strRef>
              <c:f>Summary!$B$3:$B$14</c:f>
            </c:strRef>
          </c:cat>
          <c:val>
            <c:numRef>
              <c:f>Summary!$C$3:$C$14</c:f>
              <c:numCache/>
            </c:numRef>
          </c:val>
        </c:ser>
        <c:axId val="1533511650"/>
        <c:axId val="1240842090"/>
      </c:barChart>
      <c:catAx>
        <c:axId val="1533511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842090"/>
      </c:catAx>
      <c:valAx>
        <c:axId val="1240842090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511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3</xdr:row>
      <xdr:rowOff>47625</xdr:rowOff>
    </xdr:from>
    <xdr:ext cx="4733925" cy="2933700"/>
    <xdr:graphicFrame>
      <xdr:nvGraphicFramePr>
        <xdr:cNvPr id="95089330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209550</xdr:colOff>
      <xdr:row>3</xdr:row>
      <xdr:rowOff>47625</xdr:rowOff>
    </xdr:from>
    <xdr:ext cx="4810125" cy="2981325"/>
    <xdr:graphicFrame>
      <xdr:nvGraphicFramePr>
        <xdr:cNvPr id="90489370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57"/>
    <col customWidth="1" min="7" max="7" width="4.86"/>
  </cols>
  <sheetData>
    <row r="2" ht="21.75" customHeight="1">
      <c r="B2" s="1" t="s">
        <v>0</v>
      </c>
    </row>
    <row r="3">
      <c r="B3" s="2">
        <v>2024.0</v>
      </c>
      <c r="G3" s="3"/>
      <c r="H3" s="2">
        <v>2025.0</v>
      </c>
    </row>
    <row r="21" ht="24.75" customHeight="1">
      <c r="B21" s="1" t="s">
        <v>1</v>
      </c>
    </row>
    <row r="22">
      <c r="B22" s="2">
        <v>2024.0</v>
      </c>
      <c r="G22" s="3"/>
      <c r="H22" s="2">
        <v>2025.0</v>
      </c>
    </row>
  </sheetData>
  <mergeCells count="6">
    <mergeCell ref="B3:F3"/>
    <mergeCell ref="H3:L3"/>
    <mergeCell ref="B2:L2"/>
    <mergeCell ref="B22:F22"/>
    <mergeCell ref="H22:L22"/>
    <mergeCell ref="B21:L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5.0"/>
    <col customWidth="1" min="3" max="3" width="6.57"/>
    <col customWidth="1" min="4" max="4" width="5.71"/>
    <col customWidth="1" min="5" max="5" width="5.29"/>
  </cols>
  <sheetData>
    <row r="1" ht="12.0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5" t="s">
        <v>2</v>
      </c>
      <c r="C2" s="6">
        <v>2024.0</v>
      </c>
      <c r="D2" s="6">
        <v>2025.0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6" t="s">
        <v>3</v>
      </c>
      <c r="C3" s="7"/>
      <c r="D3" s="4">
        <f>IFERROR(__xludf.DUMMYFUNCTION("COUNT(QUERY(Dataset!A2:A87, ""SELECT A WHERE MONTH(A) = 0 AND YEAR(A) = 2025"", 0))"),7.0)</f>
        <v>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6" t="s">
        <v>4</v>
      </c>
      <c r="C4" s="7"/>
      <c r="D4" s="4">
        <f>IFERROR(__xludf.DUMMYFUNCTION("COUNT(QUERY(Dataset!A2:A87, ""SELECT A WHERE MONTH(A) = 1 AND YEAR(A) = 2025"", 0))"),9.0)</f>
        <v>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6" t="s">
        <v>5</v>
      </c>
      <c r="C5" s="7"/>
      <c r="D5" s="4">
        <f>IFERROR(__xludf.DUMMYFUNCTION("COUNT(QUERY(Dataset!A2:A87, ""SELECT A WHERE MONTH(A) = 2 AND YEAR(A) = 2025"", 0))"),4.0)</f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" t="s">
        <v>6</v>
      </c>
      <c r="C6" s="7"/>
      <c r="D6" s="4">
        <f>IFERROR(__xludf.DUMMYFUNCTION("COUNT(QUERY(Dataset!A2:A87, ""SELECT A WHERE MONTH(A) = 3 AND YEAR(A) = 2025"", 0))"),8.0)</f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6" t="s">
        <v>7</v>
      </c>
      <c r="C7" s="7"/>
      <c r="D7" s="4">
        <f>IFERROR(__xludf.DUMMYFUNCTION("COUNT(QUERY(Dataset!A2:A87, ""SELECT A WHERE MONTH(A) = 4 AND YEAR(A) = 2025"", 0))"),7.0)</f>
        <v>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6" t="s">
        <v>8</v>
      </c>
      <c r="C8" s="7"/>
      <c r="D8" s="4">
        <f>IFERROR(__xludf.DUMMYFUNCTION("COUNT(QUERY(Dataset!A2:A87, ""SELECT A WHERE MONTH(A) = 5 AND YEAR(A) = 2025"", 0))"),4.0)</f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6" t="s">
        <v>9</v>
      </c>
      <c r="C9" s="7"/>
      <c r="D9" s="4">
        <f>IFERROR(__xludf.DUMMYFUNCTION("COUNT(QUERY(Dataset!A2:A87, ""SELECT A WHERE MONTH(A) = 6 AND YEAR(A) = 2025"", 0))"),4.0)</f>
        <v>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6" t="s">
        <v>10</v>
      </c>
      <c r="C10" s="7"/>
      <c r="D10" s="4">
        <f>IFERROR(__xludf.DUMMYFUNCTION("COUNT(QUERY(Dataset!A2:A87, ""SELECT A WHERE MONTH(A) = 7 AND YEAR(A) = 2025"", 0))"),8.0)</f>
        <v>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6" t="s">
        <v>11</v>
      </c>
      <c r="C11" s="7"/>
      <c r="D11" s="4">
        <f>IFERROR(__xludf.DUMMYFUNCTION("COUNT(QUERY(Dataset!A2:A87, ""SELECT A WHERE MONTH(A) = 8 AND YEAR(A) = 2025"", 0))"),14.0)</f>
        <v>14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6" t="s">
        <v>12</v>
      </c>
      <c r="C12" s="4">
        <f>IFERROR(__xludf.DUMMYFUNCTION("COUNT(QUERY(Dataset!A2:A87, ""SELECT A WHERE MONTH(A) = 9 AND YEAR(A) = 2024"", 0))"),0.0)</f>
        <v>0</v>
      </c>
      <c r="D12" s="4">
        <f>IFERROR(__xludf.DUMMYFUNCTION("COUNT(QUERY(Dataset!A2:A87, ""SELECT A WHERE MONTH(A) = 9 AND YEAR(A) = 2025"", 0))"),7.0)</f>
        <v>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6" t="s">
        <v>13</v>
      </c>
      <c r="C13" s="4">
        <f>IFERROR(__xludf.DUMMYFUNCTION("COUNT(QUERY(Dataset!A3:A88, ""SELECT A WHERE MONTH(A) = 10 AND YEAR(A) = 2024"", 0))"),4.0)</f>
        <v>4</v>
      </c>
      <c r="D13" s="4">
        <f>IFERROR(__xludf.DUMMYFUNCTION("COUNT(QUERY(Dataset!A2:A87, ""SELECT A WHERE MONTH(A) = 10 AND YEAR(A) = 2025"", 0))"),0.0)</f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6" t="s">
        <v>14</v>
      </c>
      <c r="C14" s="6">
        <f>IFERROR(__xludf.DUMMYFUNCTION("COUNT(QUERY(Dataset!A3:A88, ""SELECT A WHERE MONTH(A) = 11 AND YEAR(A) = 2024"", 0))"),4.0)</f>
        <v>4</v>
      </c>
      <c r="D14" s="4">
        <f>IFERROR(__xludf.DUMMYFUNCTION("COUNT(QUERY(Dataset!A2:A87, ""SELECT A WHERE MONTH(A) = 11 AND YEAR(A) = 2025"", 0))"),0.0)</f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5" t="s">
        <v>15</v>
      </c>
      <c r="C16" s="4">
        <f>COUNTA(Dataset!E3:E87)</f>
        <v>80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9.57"/>
    <col customWidth="1" min="3" max="3" width="17.43"/>
    <col customWidth="1" min="4" max="4" width="12.71"/>
    <col customWidth="1" min="5" max="5" width="10.71"/>
    <col customWidth="1" min="6" max="6" width="14.57"/>
    <col customWidth="1" min="7" max="20" width="8.71"/>
  </cols>
  <sheetData>
    <row r="1" ht="38.25" customHeight="1">
      <c r="A1" s="8" t="s">
        <v>16</v>
      </c>
      <c r="B1" s="8" t="s">
        <v>17</v>
      </c>
      <c r="C1" s="8" t="s">
        <v>18</v>
      </c>
      <c r="D1" s="9" t="s">
        <v>19</v>
      </c>
      <c r="E1" s="8" t="s">
        <v>20</v>
      </c>
      <c r="F1" s="1" t="s">
        <v>21</v>
      </c>
    </row>
    <row r="2" ht="14.25" customHeight="1">
      <c r="A2" s="10">
        <v>45606.0</v>
      </c>
      <c r="B2" s="11">
        <v>0.66875</v>
      </c>
      <c r="C2" s="12">
        <v>45780.0</v>
      </c>
      <c r="D2" s="13" t="s">
        <v>22</v>
      </c>
      <c r="E2" s="14" t="s">
        <v>23</v>
      </c>
      <c r="F2" s="15">
        <f t="shared" ref="F2:F82" si="1">(C2-A2)/30.44</f>
        <v>5.716162943</v>
      </c>
    </row>
    <row r="3" ht="14.25" customHeight="1">
      <c r="A3" s="10">
        <v>45607.0</v>
      </c>
      <c r="B3" s="11">
        <v>0.9361111111111111</v>
      </c>
      <c r="C3" s="12">
        <v>45843.0</v>
      </c>
      <c r="D3" s="13" t="s">
        <v>24</v>
      </c>
      <c r="E3" s="14" t="s">
        <v>25</v>
      </c>
      <c r="F3" s="15">
        <f t="shared" si="1"/>
        <v>7.752956636</v>
      </c>
    </row>
    <row r="4" ht="14.25" customHeight="1">
      <c r="A4" s="10">
        <v>45614.0</v>
      </c>
      <c r="B4" s="11">
        <v>0.9527777777777777</v>
      </c>
      <c r="C4" s="12">
        <v>45850.0</v>
      </c>
      <c r="D4" s="13" t="s">
        <v>26</v>
      </c>
      <c r="E4" s="14" t="s">
        <v>23</v>
      </c>
      <c r="F4" s="15">
        <f t="shared" si="1"/>
        <v>7.752956636</v>
      </c>
    </row>
    <row r="5" ht="14.25" customHeight="1">
      <c r="A5" s="10">
        <v>45617.0</v>
      </c>
      <c r="B5" s="11">
        <v>0.3798611111111111</v>
      </c>
      <c r="C5" s="12">
        <v>46186.0</v>
      </c>
      <c r="D5" s="13" t="s">
        <v>27</v>
      </c>
      <c r="E5" s="14" t="s">
        <v>25</v>
      </c>
      <c r="F5" s="15">
        <f t="shared" si="1"/>
        <v>18.69250986</v>
      </c>
    </row>
    <row r="6" ht="14.25" customHeight="1">
      <c r="A6" s="10">
        <v>45626.0</v>
      </c>
      <c r="B6" s="11">
        <v>0.7833333333333333</v>
      </c>
      <c r="C6" s="12">
        <v>45906.0</v>
      </c>
      <c r="D6" s="13" t="s">
        <v>28</v>
      </c>
      <c r="E6" s="14" t="s">
        <v>23</v>
      </c>
      <c r="F6" s="15">
        <f t="shared" si="1"/>
        <v>9.198423127</v>
      </c>
    </row>
    <row r="7" ht="14.25" customHeight="1">
      <c r="A7" s="10">
        <v>45636.0</v>
      </c>
      <c r="B7" s="11">
        <v>0.45208333333333334</v>
      </c>
      <c r="C7" s="12">
        <v>46179.0</v>
      </c>
      <c r="D7" s="13" t="s">
        <v>29</v>
      </c>
      <c r="E7" s="14" t="s">
        <v>25</v>
      </c>
      <c r="F7" s="15">
        <f t="shared" si="1"/>
        <v>17.83837057</v>
      </c>
    </row>
    <row r="8" ht="14.25" customHeight="1">
      <c r="A8" s="10">
        <v>45643.0</v>
      </c>
      <c r="B8" s="11">
        <v>0.17152777777777778</v>
      </c>
      <c r="C8" s="12">
        <v>46196.0</v>
      </c>
      <c r="D8" s="13" t="s">
        <v>30</v>
      </c>
      <c r="E8" s="14" t="s">
        <v>23</v>
      </c>
      <c r="F8" s="15">
        <f t="shared" si="1"/>
        <v>18.16688568</v>
      </c>
    </row>
    <row r="9" ht="14.25" customHeight="1">
      <c r="A9" s="10">
        <v>45645.0</v>
      </c>
      <c r="B9" s="11">
        <v>0.9868055555555556</v>
      </c>
      <c r="C9" s="12">
        <v>45899.0</v>
      </c>
      <c r="D9" s="13" t="s">
        <v>31</v>
      </c>
      <c r="E9" s="14" t="s">
        <v>25</v>
      </c>
      <c r="F9" s="15">
        <f t="shared" si="1"/>
        <v>8.344283837</v>
      </c>
    </row>
    <row r="10" ht="14.25" customHeight="1">
      <c r="A10" s="10">
        <v>45655.0</v>
      </c>
      <c r="B10" s="11">
        <v>0.3236111111111111</v>
      </c>
      <c r="C10" s="12">
        <v>45780.0</v>
      </c>
      <c r="D10" s="13" t="s">
        <v>32</v>
      </c>
      <c r="E10" s="14" t="s">
        <v>25</v>
      </c>
      <c r="F10" s="15">
        <f t="shared" si="1"/>
        <v>4.106438896</v>
      </c>
    </row>
    <row r="11" ht="14.25" customHeight="1">
      <c r="A11" s="10">
        <v>45669.0</v>
      </c>
      <c r="B11" s="11">
        <v>0.45069444444444445</v>
      </c>
      <c r="C11" s="12">
        <v>45920.0</v>
      </c>
      <c r="D11" s="13" t="s">
        <v>29</v>
      </c>
      <c r="E11" s="14" t="s">
        <v>25</v>
      </c>
      <c r="F11" s="15">
        <f t="shared" si="1"/>
        <v>8.245729304</v>
      </c>
    </row>
    <row r="12" ht="14.25" customHeight="1">
      <c r="A12" s="10">
        <v>45671.0</v>
      </c>
      <c r="B12" s="11">
        <v>0.8569444444444444</v>
      </c>
      <c r="C12" s="12">
        <v>45913.0</v>
      </c>
      <c r="D12" s="13" t="s">
        <v>33</v>
      </c>
      <c r="E12" s="14" t="s">
        <v>25</v>
      </c>
      <c r="F12" s="15">
        <f t="shared" si="1"/>
        <v>7.950065703</v>
      </c>
    </row>
    <row r="13" ht="14.25" customHeight="1">
      <c r="A13" s="10">
        <v>45671.0</v>
      </c>
      <c r="B13" s="11">
        <v>0.5701388888888889</v>
      </c>
      <c r="C13" s="12">
        <v>46288.0</v>
      </c>
      <c r="D13" s="13" t="s">
        <v>34</v>
      </c>
      <c r="E13" s="14" t="s">
        <v>25</v>
      </c>
      <c r="F13" s="15">
        <f t="shared" si="1"/>
        <v>20.26938239</v>
      </c>
    </row>
    <row r="14" ht="14.25" customHeight="1">
      <c r="A14" s="10">
        <v>45677.0</v>
      </c>
      <c r="B14" s="11">
        <v>0.8076388888888889</v>
      </c>
      <c r="C14" s="12">
        <v>45898.0</v>
      </c>
      <c r="D14" s="13" t="s">
        <v>35</v>
      </c>
      <c r="E14" s="14" t="s">
        <v>25</v>
      </c>
      <c r="F14" s="15">
        <f t="shared" si="1"/>
        <v>7.260183968</v>
      </c>
    </row>
    <row r="15" ht="14.25" customHeight="1">
      <c r="A15" s="10">
        <v>45678.0</v>
      </c>
      <c r="B15" s="11">
        <v>0.5895833333333333</v>
      </c>
      <c r="C15" s="12">
        <v>45906.0</v>
      </c>
      <c r="D15" s="13" t="s">
        <v>36</v>
      </c>
      <c r="E15" s="14" t="s">
        <v>25</v>
      </c>
      <c r="F15" s="15">
        <f t="shared" si="1"/>
        <v>7.490144547</v>
      </c>
    </row>
    <row r="16" ht="14.25" customHeight="1">
      <c r="A16" s="10">
        <v>45685.0</v>
      </c>
      <c r="B16" s="11">
        <v>0.6902777777777778</v>
      </c>
      <c r="C16" s="12">
        <v>45891.0</v>
      </c>
      <c r="D16" s="13" t="s">
        <v>37</v>
      </c>
      <c r="E16" s="14" t="s">
        <v>25</v>
      </c>
      <c r="F16" s="15">
        <f t="shared" si="1"/>
        <v>6.767411301</v>
      </c>
    </row>
    <row r="17" ht="14.25" customHeight="1">
      <c r="A17" s="10">
        <v>45685.0</v>
      </c>
      <c r="B17" s="11">
        <v>0.5013888888888889</v>
      </c>
      <c r="C17" s="12">
        <v>46214.0</v>
      </c>
      <c r="D17" s="13" t="s">
        <v>38</v>
      </c>
      <c r="E17" s="14" t="s">
        <v>25</v>
      </c>
      <c r="F17" s="15">
        <f t="shared" si="1"/>
        <v>17.37844941</v>
      </c>
    </row>
    <row r="18" ht="14.25" customHeight="1">
      <c r="A18" s="10">
        <v>45689.0</v>
      </c>
      <c r="B18" s="11">
        <v>0.5270833333333333</v>
      </c>
      <c r="C18" s="12">
        <v>45850.0</v>
      </c>
      <c r="D18" s="13" t="s">
        <v>39</v>
      </c>
      <c r="E18" s="14" t="s">
        <v>25</v>
      </c>
      <c r="F18" s="15">
        <f t="shared" si="1"/>
        <v>5.289093298</v>
      </c>
    </row>
    <row r="19" ht="14.25" customHeight="1">
      <c r="A19" s="10">
        <v>45690.0</v>
      </c>
      <c r="B19" s="11">
        <v>0.5965277777777778</v>
      </c>
      <c r="C19" s="12">
        <v>45849.0</v>
      </c>
      <c r="D19" s="13" t="s">
        <v>32</v>
      </c>
      <c r="E19" s="14" t="s">
        <v>25</v>
      </c>
      <c r="F19" s="15">
        <f t="shared" si="1"/>
        <v>5.223390276</v>
      </c>
    </row>
    <row r="20" ht="14.25" customHeight="1">
      <c r="A20" s="10">
        <v>45690.0</v>
      </c>
      <c r="B20" s="11">
        <v>0.9069444444444444</v>
      </c>
      <c r="C20" s="12">
        <v>46185.0</v>
      </c>
      <c r="D20" s="13" t="s">
        <v>36</v>
      </c>
      <c r="E20" s="14" t="s">
        <v>25</v>
      </c>
      <c r="F20" s="15">
        <f t="shared" si="1"/>
        <v>16.26149803</v>
      </c>
    </row>
    <row r="21" ht="14.25" customHeight="1">
      <c r="A21" s="10">
        <v>45695.0</v>
      </c>
      <c r="B21" s="11">
        <v>0.70625</v>
      </c>
      <c r="C21" s="12">
        <v>45830.0</v>
      </c>
      <c r="D21" s="13" t="s">
        <v>40</v>
      </c>
      <c r="E21" s="14" t="s">
        <v>25</v>
      </c>
      <c r="F21" s="15">
        <f t="shared" si="1"/>
        <v>4.434954008</v>
      </c>
    </row>
    <row r="22" ht="14.25" customHeight="1">
      <c r="A22" s="10">
        <v>45700.0</v>
      </c>
      <c r="B22" s="11">
        <v>0.5451388888888888</v>
      </c>
      <c r="C22" s="12">
        <v>46179.0</v>
      </c>
      <c r="D22" s="13" t="s">
        <v>41</v>
      </c>
      <c r="E22" s="14" t="s">
        <v>23</v>
      </c>
      <c r="F22" s="15">
        <f t="shared" si="1"/>
        <v>15.73587385</v>
      </c>
    </row>
    <row r="23" ht="14.25" customHeight="1">
      <c r="A23" s="10">
        <v>45701.0</v>
      </c>
      <c r="B23" s="11">
        <v>0.7333333333333333</v>
      </c>
      <c r="C23" s="12">
        <v>46131.0</v>
      </c>
      <c r="D23" s="13" t="s">
        <v>42</v>
      </c>
      <c r="E23" s="14" t="s">
        <v>25</v>
      </c>
      <c r="F23" s="15">
        <f t="shared" si="1"/>
        <v>14.1261498</v>
      </c>
    </row>
    <row r="24" ht="14.25" customHeight="1">
      <c r="A24" s="10">
        <v>45707.0</v>
      </c>
      <c r="B24" s="11">
        <v>0.55625</v>
      </c>
      <c r="C24" s="12">
        <v>45927.0</v>
      </c>
      <c r="D24" s="13" t="s">
        <v>43</v>
      </c>
      <c r="E24" s="14" t="s">
        <v>25</v>
      </c>
      <c r="F24" s="15">
        <f t="shared" si="1"/>
        <v>7.227332457</v>
      </c>
    </row>
    <row r="25" ht="14.25" customHeight="1">
      <c r="A25" s="10">
        <v>45710.0</v>
      </c>
      <c r="B25" s="11">
        <v>0.48819444444444443</v>
      </c>
      <c r="C25" s="12">
        <v>45837.0</v>
      </c>
      <c r="D25" s="13" t="s">
        <v>44</v>
      </c>
      <c r="E25" s="14" t="s">
        <v>25</v>
      </c>
      <c r="F25" s="15">
        <f t="shared" si="1"/>
        <v>4.172141919</v>
      </c>
    </row>
    <row r="26" ht="14.25" customHeight="1">
      <c r="A26" s="10">
        <v>45716.0</v>
      </c>
      <c r="B26" s="11">
        <v>0.4847222222222222</v>
      </c>
      <c r="C26" s="12">
        <v>46277.0</v>
      </c>
      <c r="D26" s="13" t="s">
        <v>45</v>
      </c>
      <c r="E26" s="14" t="s">
        <v>25</v>
      </c>
      <c r="F26" s="15">
        <f t="shared" si="1"/>
        <v>18.42969777</v>
      </c>
    </row>
    <row r="27" ht="14.25" customHeight="1">
      <c r="A27" s="10">
        <v>45722.0</v>
      </c>
      <c r="B27" s="11">
        <v>0.7118055555555556</v>
      </c>
      <c r="C27" s="12">
        <v>46242.0</v>
      </c>
      <c r="D27" s="13" t="s">
        <v>46</v>
      </c>
      <c r="E27" s="14" t="s">
        <v>25</v>
      </c>
      <c r="F27" s="15">
        <f t="shared" si="1"/>
        <v>17.08278581</v>
      </c>
    </row>
    <row r="28" ht="14.25" customHeight="1">
      <c r="A28" s="10">
        <v>45724.0</v>
      </c>
      <c r="B28" s="11">
        <v>0.027777777777777776</v>
      </c>
      <c r="C28" s="12">
        <v>45870.0</v>
      </c>
      <c r="D28" s="13" t="s">
        <v>29</v>
      </c>
      <c r="E28" s="14" t="s">
        <v>25</v>
      </c>
      <c r="F28" s="15">
        <f t="shared" si="1"/>
        <v>4.796320631</v>
      </c>
    </row>
    <row r="29" ht="14.25" customHeight="1">
      <c r="A29" s="10">
        <v>45732.0</v>
      </c>
      <c r="B29" s="11">
        <v>0.7930555555555555</v>
      </c>
      <c r="C29" s="12">
        <v>45850.0</v>
      </c>
      <c r="D29" s="13" t="s">
        <v>47</v>
      </c>
      <c r="E29" s="14" t="s">
        <v>23</v>
      </c>
      <c r="F29" s="15">
        <f t="shared" si="1"/>
        <v>3.876478318</v>
      </c>
    </row>
    <row r="30" ht="14.25" customHeight="1">
      <c r="A30" s="10">
        <v>45741.0</v>
      </c>
      <c r="B30" s="11">
        <v>0.8027777777777778</v>
      </c>
      <c r="C30" s="12">
        <v>45745.0</v>
      </c>
      <c r="D30" s="13" t="s">
        <v>48</v>
      </c>
      <c r="E30" s="14" t="s">
        <v>25</v>
      </c>
      <c r="F30" s="15">
        <f t="shared" si="1"/>
        <v>0.1314060447</v>
      </c>
    </row>
    <row r="31" ht="14.25" customHeight="1">
      <c r="A31" s="10">
        <v>45752.0</v>
      </c>
      <c r="B31" s="11">
        <v>0.6944444444444444</v>
      </c>
      <c r="C31" s="12">
        <v>45864.0</v>
      </c>
      <c r="D31" s="13" t="s">
        <v>49</v>
      </c>
      <c r="E31" s="14" t="s">
        <v>25</v>
      </c>
      <c r="F31" s="15">
        <f t="shared" si="1"/>
        <v>3.679369251</v>
      </c>
    </row>
    <row r="32" ht="14.25" customHeight="1">
      <c r="A32" s="10">
        <v>45752.0</v>
      </c>
      <c r="B32" s="11">
        <v>0.6923611111111111</v>
      </c>
      <c r="C32" s="12">
        <v>46263.0</v>
      </c>
      <c r="D32" s="13" t="s">
        <v>50</v>
      </c>
      <c r="E32" s="14" t="s">
        <v>25</v>
      </c>
      <c r="F32" s="15">
        <f t="shared" si="1"/>
        <v>16.78712221</v>
      </c>
    </row>
    <row r="33" ht="14.25" customHeight="1">
      <c r="A33" s="10">
        <v>45756.0</v>
      </c>
      <c r="B33" s="11">
        <v>0.99375</v>
      </c>
      <c r="C33" s="12">
        <v>45780.0</v>
      </c>
      <c r="D33" s="13" t="s">
        <v>51</v>
      </c>
      <c r="E33" s="14" t="s">
        <v>25</v>
      </c>
      <c r="F33" s="15">
        <f t="shared" si="1"/>
        <v>0.7884362681</v>
      </c>
    </row>
    <row r="34" ht="14.25" customHeight="1">
      <c r="A34" s="10">
        <v>45761.0</v>
      </c>
      <c r="B34" s="11">
        <v>0.51875</v>
      </c>
      <c r="C34" s="12">
        <v>45998.0</v>
      </c>
      <c r="D34" s="13" t="s">
        <v>22</v>
      </c>
      <c r="E34" s="14" t="s">
        <v>25</v>
      </c>
      <c r="F34" s="15">
        <f t="shared" si="1"/>
        <v>7.785808147</v>
      </c>
    </row>
    <row r="35" ht="14.25" customHeight="1">
      <c r="A35" s="10">
        <v>45763.0</v>
      </c>
      <c r="B35" s="11">
        <v>0.7868055555555555</v>
      </c>
      <c r="C35" s="12">
        <v>45829.0</v>
      </c>
      <c r="D35" s="13" t="s">
        <v>52</v>
      </c>
      <c r="E35" s="14" t="s">
        <v>25</v>
      </c>
      <c r="F35" s="15">
        <f t="shared" si="1"/>
        <v>2.168199737</v>
      </c>
    </row>
    <row r="36" ht="14.25" customHeight="1">
      <c r="A36" s="10">
        <v>45768.0</v>
      </c>
      <c r="B36" s="11">
        <v>0.5618055555555556</v>
      </c>
      <c r="C36" s="12">
        <v>46158.0</v>
      </c>
      <c r="D36" s="13" t="s">
        <v>53</v>
      </c>
      <c r="E36" s="14" t="s">
        <v>25</v>
      </c>
      <c r="F36" s="15">
        <f t="shared" si="1"/>
        <v>12.81208936</v>
      </c>
    </row>
    <row r="37" ht="14.25" customHeight="1">
      <c r="A37" s="10">
        <v>45771.0</v>
      </c>
      <c r="B37" s="11">
        <v>0.6097222222222223</v>
      </c>
      <c r="C37" s="12">
        <v>45998.0</v>
      </c>
      <c r="D37" s="13" t="s">
        <v>22</v>
      </c>
      <c r="E37" s="14" t="s">
        <v>25</v>
      </c>
      <c r="F37" s="15">
        <f t="shared" si="1"/>
        <v>7.457293035</v>
      </c>
    </row>
    <row r="38" ht="14.25" customHeight="1">
      <c r="A38" s="10">
        <v>45771.0</v>
      </c>
      <c r="B38" s="11">
        <v>0.8388888888888889</v>
      </c>
      <c r="C38" s="12">
        <v>46130.0</v>
      </c>
      <c r="D38" s="13" t="s">
        <v>54</v>
      </c>
      <c r="E38" s="14" t="s">
        <v>23</v>
      </c>
      <c r="F38" s="15">
        <f t="shared" si="1"/>
        <v>11.79369251</v>
      </c>
    </row>
    <row r="39" ht="14.25" customHeight="1">
      <c r="A39" s="10">
        <v>45780.0</v>
      </c>
      <c r="B39" s="11">
        <v>0.015277777777777777</v>
      </c>
      <c r="C39" s="12">
        <v>45923.0</v>
      </c>
      <c r="D39" s="13" t="s">
        <v>55</v>
      </c>
      <c r="E39" s="14" t="s">
        <v>23</v>
      </c>
      <c r="F39" s="15">
        <f t="shared" si="1"/>
        <v>4.697766097</v>
      </c>
    </row>
    <row r="40" ht="14.25" customHeight="1">
      <c r="A40" s="10">
        <v>45786.0</v>
      </c>
      <c r="B40" s="11">
        <v>0.69375</v>
      </c>
      <c r="C40" s="12">
        <v>46291.0</v>
      </c>
      <c r="D40" s="13" t="s">
        <v>56</v>
      </c>
      <c r="E40" s="14" t="s">
        <v>25</v>
      </c>
      <c r="F40" s="15">
        <f t="shared" si="1"/>
        <v>16.59001314</v>
      </c>
    </row>
    <row r="41" ht="14.25" customHeight="1">
      <c r="A41" s="10">
        <v>45789.0</v>
      </c>
      <c r="B41" s="11">
        <v>0.9298611111111111</v>
      </c>
      <c r="C41" s="12">
        <v>46137.0</v>
      </c>
      <c r="D41" s="13" t="s">
        <v>57</v>
      </c>
      <c r="E41" s="14" t="s">
        <v>23</v>
      </c>
      <c r="F41" s="15">
        <f t="shared" si="1"/>
        <v>11.43232589</v>
      </c>
    </row>
    <row r="42" ht="14.25" customHeight="1">
      <c r="A42" s="10">
        <v>45800.0</v>
      </c>
      <c r="B42" s="11">
        <v>0.4597222222222222</v>
      </c>
      <c r="C42" s="12">
        <v>45906.0</v>
      </c>
      <c r="D42" s="13" t="s">
        <v>58</v>
      </c>
      <c r="E42" s="14" t="s">
        <v>23</v>
      </c>
      <c r="F42" s="15">
        <f t="shared" si="1"/>
        <v>3.482260184</v>
      </c>
    </row>
    <row r="43" ht="14.25" customHeight="1">
      <c r="A43" s="10">
        <v>45804.0</v>
      </c>
      <c r="B43" s="11">
        <v>0.4847222222222222</v>
      </c>
      <c r="C43" s="12">
        <v>46186.0</v>
      </c>
      <c r="D43" s="13" t="s">
        <v>59</v>
      </c>
      <c r="E43" s="14" t="s">
        <v>25</v>
      </c>
      <c r="F43" s="15">
        <f t="shared" si="1"/>
        <v>12.54927727</v>
      </c>
    </row>
    <row r="44" ht="14.25" customHeight="1">
      <c r="A44" s="10">
        <v>45805.0</v>
      </c>
      <c r="B44" s="11">
        <v>0.7361111111111112</v>
      </c>
      <c r="C44" s="12">
        <v>45906.0</v>
      </c>
      <c r="D44" s="13" t="s">
        <v>30</v>
      </c>
      <c r="E44" s="14" t="s">
        <v>23</v>
      </c>
      <c r="F44" s="15">
        <f t="shared" si="1"/>
        <v>3.318002628</v>
      </c>
    </row>
    <row r="45" ht="14.25" customHeight="1">
      <c r="A45" s="10">
        <v>45806.0</v>
      </c>
      <c r="B45" s="11">
        <v>0.3138888888888889</v>
      </c>
      <c r="C45" s="12">
        <v>45878.0</v>
      </c>
      <c r="D45" s="13" t="s">
        <v>60</v>
      </c>
      <c r="E45" s="14" t="s">
        <v>25</v>
      </c>
      <c r="F45" s="15">
        <f t="shared" si="1"/>
        <v>2.365308804</v>
      </c>
    </row>
    <row r="46" ht="14.25" customHeight="1">
      <c r="A46" s="10">
        <v>45811.0</v>
      </c>
      <c r="B46" s="11">
        <v>0.34305555555555556</v>
      </c>
      <c r="C46" s="12">
        <v>45906.0</v>
      </c>
      <c r="D46" s="13" t="s">
        <v>61</v>
      </c>
      <c r="E46" s="14" t="s">
        <v>25</v>
      </c>
      <c r="F46" s="15">
        <f t="shared" si="1"/>
        <v>3.120893561</v>
      </c>
    </row>
    <row r="47" ht="14.25" customHeight="1">
      <c r="A47" s="10">
        <v>45811.0</v>
      </c>
      <c r="B47" s="11">
        <v>0.86875</v>
      </c>
      <c r="C47" s="12">
        <v>46592.0</v>
      </c>
      <c r="D47" s="13" t="s">
        <v>62</v>
      </c>
      <c r="E47" s="14" t="s">
        <v>25</v>
      </c>
      <c r="F47" s="15">
        <f t="shared" si="1"/>
        <v>25.65703022</v>
      </c>
    </row>
    <row r="48" ht="14.25" customHeight="1">
      <c r="A48" s="10">
        <v>45813.0</v>
      </c>
      <c r="B48" s="11">
        <v>0.022222222222222223</v>
      </c>
      <c r="C48" s="12">
        <v>45843.0</v>
      </c>
      <c r="D48" s="13" t="s">
        <v>63</v>
      </c>
      <c r="E48" s="14" t="s">
        <v>25</v>
      </c>
      <c r="F48" s="15">
        <f t="shared" si="1"/>
        <v>0.9855453351</v>
      </c>
    </row>
    <row r="49" ht="14.25" customHeight="1">
      <c r="A49" s="10">
        <v>45819.0</v>
      </c>
      <c r="B49" s="11">
        <v>0.7152777777777778</v>
      </c>
      <c r="C49" s="12">
        <v>46158.0</v>
      </c>
      <c r="D49" s="13" t="s">
        <v>64</v>
      </c>
      <c r="E49" s="14" t="s">
        <v>23</v>
      </c>
      <c r="F49" s="15">
        <f t="shared" si="1"/>
        <v>11.13666229</v>
      </c>
    </row>
    <row r="50" ht="14.25" customHeight="1">
      <c r="A50" s="10">
        <v>45844.0</v>
      </c>
      <c r="B50" s="11">
        <v>0.8527777777777777</v>
      </c>
      <c r="C50" s="12">
        <v>45941.0</v>
      </c>
      <c r="D50" s="13" t="s">
        <v>65</v>
      </c>
      <c r="E50" s="14" t="s">
        <v>25</v>
      </c>
      <c r="F50" s="15">
        <f t="shared" si="1"/>
        <v>3.186596583</v>
      </c>
    </row>
    <row r="51" ht="14.25" customHeight="1">
      <c r="A51" s="10">
        <v>45848.0</v>
      </c>
      <c r="B51" s="11">
        <v>0.5847222222222223</v>
      </c>
      <c r="C51" s="12">
        <v>46318.0</v>
      </c>
      <c r="D51" s="13" t="s">
        <v>66</v>
      </c>
      <c r="E51" s="14" t="s">
        <v>25</v>
      </c>
      <c r="F51" s="15">
        <f t="shared" si="1"/>
        <v>15.44021025</v>
      </c>
    </row>
    <row r="52" ht="14.25" customHeight="1">
      <c r="A52" s="10">
        <v>45859.0</v>
      </c>
      <c r="B52" s="11">
        <v>0.027777777777777776</v>
      </c>
      <c r="C52" s="12">
        <v>45948.0</v>
      </c>
      <c r="D52" s="13" t="s">
        <v>67</v>
      </c>
      <c r="E52" s="14" t="s">
        <v>25</v>
      </c>
      <c r="F52" s="15">
        <f t="shared" si="1"/>
        <v>2.923784494</v>
      </c>
    </row>
    <row r="53" ht="14.25" customHeight="1">
      <c r="A53" s="10">
        <v>45865.0</v>
      </c>
      <c r="B53" s="11">
        <v>0.9701388888888889</v>
      </c>
      <c r="C53" s="12">
        <v>46115.0</v>
      </c>
      <c r="D53" s="13" t="s">
        <v>68</v>
      </c>
      <c r="E53" s="14" t="s">
        <v>25</v>
      </c>
      <c r="F53" s="15">
        <f t="shared" si="1"/>
        <v>8.212877792</v>
      </c>
    </row>
    <row r="54" ht="14.25" customHeight="1">
      <c r="A54" s="10">
        <v>45870.0</v>
      </c>
      <c r="B54" s="11">
        <v>0.9381944444444444</v>
      </c>
      <c r="C54" s="12">
        <v>46186.0</v>
      </c>
      <c r="D54" s="13" t="s">
        <v>69</v>
      </c>
      <c r="E54" s="14" t="s">
        <v>25</v>
      </c>
      <c r="F54" s="15">
        <f t="shared" si="1"/>
        <v>10.38107753</v>
      </c>
    </row>
    <row r="55" ht="14.25" customHeight="1">
      <c r="A55" s="10">
        <v>45873.0</v>
      </c>
      <c r="B55" s="11">
        <v>0.42916666666666664</v>
      </c>
      <c r="C55" s="12">
        <v>46312.0</v>
      </c>
      <c r="D55" s="13" t="s">
        <v>60</v>
      </c>
      <c r="E55" s="14" t="s">
        <v>25</v>
      </c>
      <c r="F55" s="15">
        <f t="shared" si="1"/>
        <v>14.4218134</v>
      </c>
    </row>
    <row r="56" ht="14.25" customHeight="1">
      <c r="A56" s="10">
        <v>45874.0</v>
      </c>
      <c r="B56" s="11">
        <v>0.75</v>
      </c>
      <c r="C56" s="12">
        <v>45941.0</v>
      </c>
      <c r="D56" s="13" t="s">
        <v>31</v>
      </c>
      <c r="E56" s="14" t="s">
        <v>25</v>
      </c>
      <c r="F56" s="15">
        <f t="shared" si="1"/>
        <v>2.201051248</v>
      </c>
    </row>
    <row r="57" ht="14.25" customHeight="1">
      <c r="A57" s="10">
        <v>45882.0</v>
      </c>
      <c r="B57" s="11">
        <v>0.90625</v>
      </c>
      <c r="C57" s="12">
        <v>46152.0</v>
      </c>
      <c r="D57" s="13" t="s">
        <v>70</v>
      </c>
      <c r="E57" s="14" t="s">
        <v>25</v>
      </c>
      <c r="F57" s="15">
        <f t="shared" si="1"/>
        <v>8.869908016</v>
      </c>
    </row>
    <row r="58" ht="14.25" customHeight="1">
      <c r="A58" s="10">
        <v>45887.0</v>
      </c>
      <c r="B58" s="11">
        <v>0.6576388888888889</v>
      </c>
      <c r="C58" s="12">
        <v>46256.0</v>
      </c>
      <c r="D58" s="13" t="s">
        <v>71</v>
      </c>
      <c r="E58" s="14" t="s">
        <v>25</v>
      </c>
      <c r="F58" s="15">
        <f t="shared" si="1"/>
        <v>12.12220762</v>
      </c>
    </row>
    <row r="59" ht="14.25" customHeight="1">
      <c r="A59" s="10">
        <v>45890.0</v>
      </c>
      <c r="B59" s="11">
        <v>0.4048611111111111</v>
      </c>
      <c r="C59" s="12">
        <v>45990.0</v>
      </c>
      <c r="D59" s="13" t="s">
        <v>48</v>
      </c>
      <c r="E59" s="14" t="s">
        <v>25</v>
      </c>
      <c r="F59" s="15">
        <f t="shared" si="1"/>
        <v>3.285151117</v>
      </c>
    </row>
    <row r="60" ht="14.25" customHeight="1">
      <c r="A60" s="10">
        <v>45892.0</v>
      </c>
      <c r="B60" s="11">
        <v>0.93125</v>
      </c>
      <c r="C60" s="12">
        <v>45940.0</v>
      </c>
      <c r="D60" s="13" t="s">
        <v>72</v>
      </c>
      <c r="E60" s="14" t="s">
        <v>25</v>
      </c>
      <c r="F60" s="15">
        <f t="shared" si="1"/>
        <v>1.576872536</v>
      </c>
    </row>
    <row r="61" ht="14.25" customHeight="1">
      <c r="A61" s="10">
        <v>45898.0</v>
      </c>
      <c r="B61" s="11">
        <v>0.4152777777777778</v>
      </c>
      <c r="C61" s="12">
        <v>46151.0</v>
      </c>
      <c r="D61" s="13" t="s">
        <v>73</v>
      </c>
      <c r="E61" s="14" t="s">
        <v>25</v>
      </c>
      <c r="F61" s="15">
        <f t="shared" si="1"/>
        <v>8.311432326</v>
      </c>
    </row>
    <row r="62" ht="14.25" customHeight="1">
      <c r="A62" s="10">
        <v>45904.0</v>
      </c>
      <c r="B62" s="11">
        <v>0.9402777777777778</v>
      </c>
      <c r="C62" s="12">
        <v>45970.0</v>
      </c>
      <c r="D62" s="13" t="s">
        <v>74</v>
      </c>
      <c r="E62" s="14" t="s">
        <v>25</v>
      </c>
      <c r="F62" s="15">
        <f t="shared" si="1"/>
        <v>2.168199737</v>
      </c>
    </row>
    <row r="63" ht="14.25" customHeight="1">
      <c r="A63" s="10">
        <v>45907.0</v>
      </c>
      <c r="B63" s="11">
        <v>0.43819444444444444</v>
      </c>
      <c r="C63" s="12">
        <v>46186.0</v>
      </c>
      <c r="D63" s="13" t="s">
        <v>75</v>
      </c>
      <c r="E63" s="14" t="s">
        <v>25</v>
      </c>
      <c r="F63" s="15">
        <f t="shared" si="1"/>
        <v>9.165571616</v>
      </c>
    </row>
    <row r="64" ht="14.25" customHeight="1">
      <c r="A64" s="10">
        <v>45908.0</v>
      </c>
      <c r="B64" s="11">
        <v>0.47291666666666665</v>
      </c>
      <c r="C64" s="12">
        <v>45926.0</v>
      </c>
      <c r="D64" s="13" t="s">
        <v>76</v>
      </c>
      <c r="E64" s="14" t="s">
        <v>25</v>
      </c>
      <c r="F64" s="15">
        <f t="shared" si="1"/>
        <v>0.5913272011</v>
      </c>
    </row>
    <row r="65" ht="14.25" customHeight="1">
      <c r="A65" s="10">
        <v>45908.0</v>
      </c>
      <c r="B65" s="11">
        <v>0.9458333333333333</v>
      </c>
      <c r="C65" s="12">
        <v>46135.0</v>
      </c>
      <c r="D65" s="13" t="s">
        <v>77</v>
      </c>
      <c r="E65" s="14" t="s">
        <v>23</v>
      </c>
      <c r="F65" s="15">
        <f t="shared" si="1"/>
        <v>7.457293035</v>
      </c>
    </row>
    <row r="66" ht="14.25" customHeight="1">
      <c r="A66" s="10">
        <v>45909.0</v>
      </c>
      <c r="B66" s="11">
        <v>0.6104166666666667</v>
      </c>
      <c r="C66" s="12">
        <v>46193.0</v>
      </c>
      <c r="D66" s="13" t="s">
        <v>78</v>
      </c>
      <c r="E66" s="14" t="s">
        <v>25</v>
      </c>
      <c r="F66" s="15">
        <f t="shared" si="1"/>
        <v>9.329829172</v>
      </c>
    </row>
    <row r="67" ht="14.25" customHeight="1">
      <c r="A67" s="10">
        <v>45910.0</v>
      </c>
      <c r="B67" s="11">
        <v>0.05625</v>
      </c>
      <c r="C67" s="12">
        <v>46320.0</v>
      </c>
      <c r="D67" s="13" t="s">
        <v>79</v>
      </c>
      <c r="E67" s="14" t="s">
        <v>25</v>
      </c>
      <c r="F67" s="15">
        <f t="shared" si="1"/>
        <v>13.46911958</v>
      </c>
    </row>
    <row r="68" ht="14.25" customHeight="1">
      <c r="A68" s="10">
        <v>45916.0</v>
      </c>
      <c r="B68" s="11">
        <v>0.7479166666666667</v>
      </c>
      <c r="C68" s="12">
        <v>46263.0</v>
      </c>
      <c r="D68" s="13" t="s">
        <v>80</v>
      </c>
      <c r="E68" s="14" t="s">
        <v>25</v>
      </c>
      <c r="F68" s="15">
        <f t="shared" si="1"/>
        <v>11.39947438</v>
      </c>
    </row>
    <row r="69" ht="14.25" customHeight="1">
      <c r="A69" s="10">
        <v>45917.0</v>
      </c>
      <c r="B69" s="11">
        <v>0.6909722222222222</v>
      </c>
      <c r="C69" s="12">
        <v>46130.0</v>
      </c>
      <c r="D69" s="13" t="s">
        <v>81</v>
      </c>
      <c r="E69" s="14" t="s">
        <v>25</v>
      </c>
      <c r="F69" s="15">
        <f t="shared" si="1"/>
        <v>6.997371879</v>
      </c>
    </row>
    <row r="70" ht="14.25" customHeight="1">
      <c r="A70" s="10">
        <v>45918.0</v>
      </c>
      <c r="B70" s="11">
        <v>0.4166666666666667</v>
      </c>
      <c r="C70" s="12">
        <v>46641.0</v>
      </c>
      <c r="D70" s="13" t="s">
        <v>82</v>
      </c>
      <c r="E70" s="14" t="s">
        <v>25</v>
      </c>
      <c r="F70" s="15">
        <f t="shared" si="1"/>
        <v>23.75164258</v>
      </c>
    </row>
    <row r="71" ht="14.25" customHeight="1">
      <c r="A71" s="10">
        <v>45920.0</v>
      </c>
      <c r="B71" s="11">
        <v>0.5486111111111112</v>
      </c>
      <c r="C71" s="12">
        <v>46165.0</v>
      </c>
      <c r="D71" s="13" t="s">
        <v>83</v>
      </c>
      <c r="E71" s="14" t="s">
        <v>25</v>
      </c>
      <c r="F71" s="15">
        <f t="shared" si="1"/>
        <v>8.048620237</v>
      </c>
    </row>
    <row r="72" ht="14.25" customHeight="1">
      <c r="A72" s="10">
        <v>45921.0</v>
      </c>
      <c r="B72" s="11">
        <v>0.7277777777777777</v>
      </c>
      <c r="C72" s="12">
        <v>45941.0</v>
      </c>
      <c r="D72" s="13" t="s">
        <v>84</v>
      </c>
      <c r="E72" s="14" t="s">
        <v>25</v>
      </c>
      <c r="F72" s="15">
        <f t="shared" si="1"/>
        <v>0.6570302234</v>
      </c>
    </row>
    <row r="73" ht="14.25" customHeight="1">
      <c r="A73" s="10">
        <v>45925.0</v>
      </c>
      <c r="B73" s="11">
        <v>0.059027777777777776</v>
      </c>
      <c r="C73" s="12">
        <v>46270.0</v>
      </c>
      <c r="D73" s="13" t="s">
        <v>85</v>
      </c>
      <c r="E73" s="14" t="s">
        <v>25</v>
      </c>
      <c r="F73" s="15">
        <f t="shared" si="1"/>
        <v>11.33377135</v>
      </c>
    </row>
    <row r="74" ht="14.25" customHeight="1">
      <c r="A74" s="10">
        <v>45925.0</v>
      </c>
      <c r="B74" s="11">
        <v>0.7048611111111112</v>
      </c>
      <c r="C74" s="12">
        <v>46305.0</v>
      </c>
      <c r="D74" s="13" t="s">
        <v>86</v>
      </c>
      <c r="E74" s="14" t="s">
        <v>25</v>
      </c>
      <c r="F74" s="15">
        <f t="shared" si="1"/>
        <v>12.48357424</v>
      </c>
    </row>
    <row r="75" ht="14.25" customHeight="1">
      <c r="A75" s="10">
        <v>45929.0</v>
      </c>
      <c r="B75" s="11">
        <v>0.40555555555555556</v>
      </c>
      <c r="C75" s="12">
        <v>46228.0</v>
      </c>
      <c r="D75" s="13" t="s">
        <v>87</v>
      </c>
      <c r="E75" s="14" t="s">
        <v>25</v>
      </c>
      <c r="F75" s="15">
        <f t="shared" si="1"/>
        <v>9.82260184</v>
      </c>
    </row>
    <row r="76" ht="14.25" customHeight="1">
      <c r="A76" s="10">
        <v>45932.0</v>
      </c>
      <c r="B76" s="11">
        <v>0.8756944444444444</v>
      </c>
      <c r="C76" s="12">
        <v>46196.0</v>
      </c>
      <c r="D76" s="13" t="s">
        <v>48</v>
      </c>
      <c r="E76" s="14" t="s">
        <v>25</v>
      </c>
      <c r="F76" s="15">
        <f t="shared" si="1"/>
        <v>8.672798949</v>
      </c>
    </row>
    <row r="77" ht="14.25" customHeight="1">
      <c r="A77" s="10">
        <v>45932.0</v>
      </c>
      <c r="B77" s="11">
        <v>0.4423611111111111</v>
      </c>
      <c r="C77" s="12">
        <v>46318.0</v>
      </c>
      <c r="D77" s="13" t="s">
        <v>39</v>
      </c>
      <c r="E77" s="14" t="s">
        <v>25</v>
      </c>
      <c r="F77" s="15">
        <f t="shared" si="1"/>
        <v>12.68068331</v>
      </c>
    </row>
    <row r="78" ht="14.25" customHeight="1">
      <c r="A78" s="10">
        <v>45936.0</v>
      </c>
      <c r="B78" s="11">
        <v>0.5618055555555556</v>
      </c>
      <c r="C78" s="12">
        <v>46277.0</v>
      </c>
      <c r="D78" s="13" t="s">
        <v>81</v>
      </c>
      <c r="E78" s="16" t="s">
        <v>25</v>
      </c>
      <c r="F78" s="15">
        <f t="shared" si="1"/>
        <v>11.20236531</v>
      </c>
    </row>
    <row r="79" ht="14.25" customHeight="1">
      <c r="A79" s="10">
        <v>45938.0</v>
      </c>
      <c r="B79" s="11">
        <v>0.5763888888888888</v>
      </c>
      <c r="C79" s="12">
        <v>46305.0</v>
      </c>
      <c r="D79" s="13" t="s">
        <v>35</v>
      </c>
      <c r="E79" s="14" t="s">
        <v>25</v>
      </c>
      <c r="F79" s="15">
        <f t="shared" si="1"/>
        <v>12.0565046</v>
      </c>
    </row>
    <row r="80" ht="14.25" customHeight="1">
      <c r="A80" s="10">
        <v>45938.0</v>
      </c>
      <c r="B80" s="11">
        <v>0.81875</v>
      </c>
      <c r="C80" s="12">
        <v>46318.0</v>
      </c>
      <c r="D80" s="13" t="s">
        <v>88</v>
      </c>
      <c r="E80" s="14" t="s">
        <v>25</v>
      </c>
      <c r="F80" s="15">
        <f t="shared" si="1"/>
        <v>12.48357424</v>
      </c>
    </row>
    <row r="81" ht="14.25" customHeight="1">
      <c r="A81" s="10">
        <v>45939.0</v>
      </c>
      <c r="B81" s="11">
        <v>0.7</v>
      </c>
      <c r="C81" s="12">
        <v>46053.0</v>
      </c>
      <c r="D81" s="13" t="s">
        <v>46</v>
      </c>
      <c r="E81" s="14" t="s">
        <v>25</v>
      </c>
      <c r="F81" s="15">
        <f t="shared" si="1"/>
        <v>3.745072273</v>
      </c>
    </row>
    <row r="82" ht="14.25" customHeight="1">
      <c r="A82" s="10">
        <v>45943.0</v>
      </c>
      <c r="B82" s="11">
        <v>0.6597222222222222</v>
      </c>
      <c r="C82" s="12">
        <v>46214.0</v>
      </c>
      <c r="D82" s="13" t="s">
        <v>64</v>
      </c>
      <c r="E82" s="14" t="s">
        <v>25</v>
      </c>
      <c r="F82" s="15">
        <f t="shared" si="1"/>
        <v>8.902759527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82">
    <sortState ref="A1:F82">
      <sortCondition ref="A1:A82"/>
      <sortCondition ref="E1:E8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2025-10-15T18:35:11+02:00</dcterms:created>
  <dc:creator>Unknown Creator</dc:creator>
</cp:coreProperties>
</file>